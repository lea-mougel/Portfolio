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<sst xmlns="http://schemas.openxmlformats.org/spreadsheetml/2006/main" uniqueCount="26">
  <si>
    <t>Tableau 1</t>
  </si>
  <si>
    <t>Canal</t>
  </si>
  <si>
    <t>Impressions</t>
  </si>
  <si>
    <t>Clics</t>
  </si>
  <si>
    <t>Conversions</t>
  </si>
  <si>
    <t>Coût (€)</t>
  </si>
  <si>
    <t>Revenu (€)</t>
  </si>
  <si>
    <t>CTR (%)</t>
  </si>
  <si>
    <t>CPC (€)</t>
  </si>
  <si>
    <t>CPA (€)</t>
  </si>
  <si>
    <t>ROI (%)</t>
  </si>
  <si>
    <t>Comments</t>
  </si>
  <si>
    <t>Instagram Ads</t>
  </si>
  <si>
    <t>Rentable</t>
  </si>
  <si>
    <t>Google Ads</t>
  </si>
  <si>
    <t>Très rentable</t>
  </si>
  <si>
    <t>Email Marketing</t>
  </si>
  <si>
    <t>Ultra rentable</t>
  </si>
  <si>
    <t>Facebook Ads</t>
  </si>
  <si>
    <t>LinkedIn Ads</t>
  </si>
  <si>
    <t>Peu rentable</t>
  </si>
  <si>
    <t>Instructions: Calculez CTR, CPC, CPA et ROI avec des formules Excel.</t>
  </si>
  <si>
    <t>=Click/Impression *100</t>
  </si>
  <si>
    <t>=Cout/Click</t>
  </si>
  <si>
    <t>=Cout / conversions</t>
  </si>
  <si>
    <t>=((revenu-coût)/cout)*100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</si>
</sst>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4"/>
      <color indexed="8"/>
      <name val="Times Roman"/>
    </font>
    <font>
      <sz val="14"/>
      <color indexed="8"/>
      <name val="Times Roman"/>
    </font>
    <font>
      <sz val="10"/>
      <color indexed="11"/>
      <name val="Helvetica Neue"/>
    </font>
    <font>
      <b val="1"/>
      <sz val="10"/>
      <color indexed="8"/>
      <name val="Helvetica Neue"/>
    </font>
    <font>
      <b val="1"/>
      <sz val="8"/>
      <color indexed="8"/>
      <name val="Times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vertical="bottom" wrapText="1" readingOrder="1"/>
    </xf>
    <xf numFmtId="49" fontId="3" borderId="2" applyNumberFormat="1" applyFont="1" applyFill="0" applyBorder="1" applyAlignment="1" applyProtection="0">
      <alignment vertical="bottom" wrapText="1" readingOrder="1"/>
    </xf>
    <xf numFmtId="0" fontId="3" borderId="3" applyNumberFormat="1" applyFont="1" applyFill="0" applyBorder="1" applyAlignment="1" applyProtection="0">
      <alignment vertical="bottom" wrapText="1" readingOrder="1"/>
    </xf>
    <xf numFmtId="0" fontId="3" borderId="4" applyNumberFormat="1" applyFont="1" applyFill="0" applyBorder="1" applyAlignment="1" applyProtection="0">
      <alignment vertical="bottom" wrapText="1" readingOrder="1"/>
    </xf>
    <xf numFmtId="0" fontId="4" borderId="4" applyNumberFormat="1" applyFont="1" applyFill="0" applyBorder="1" applyAlignment="1" applyProtection="0">
      <alignment vertical="bottom" wrapText="1"/>
    </xf>
    <xf numFmtId="49" fontId="4" borderId="4" applyNumberFormat="1" applyFont="1" applyFill="0" applyBorder="1" applyAlignment="1" applyProtection="0">
      <alignment vertical="bottom" wrapText="1"/>
    </xf>
    <xf numFmtId="49" fontId="3" borderId="5" applyNumberFormat="1" applyFont="1" applyFill="0" applyBorder="1" applyAlignment="1" applyProtection="0">
      <alignment vertical="bottom" wrapText="1" readingOrder="1"/>
    </xf>
    <xf numFmtId="0" fontId="3" borderId="6" applyNumberFormat="1" applyFont="1" applyFill="0" applyBorder="1" applyAlignment="1" applyProtection="0">
      <alignment vertical="bottom" wrapText="1" readingOrder="1"/>
    </xf>
    <xf numFmtId="0" fontId="3" borderId="7" applyNumberFormat="1" applyFont="1" applyFill="0" applyBorder="1" applyAlignment="1" applyProtection="0">
      <alignment vertical="bottom" wrapText="1" readingOrder="1"/>
    </xf>
    <xf numFmtId="0" fontId="4" borderId="7" applyNumberFormat="1" applyFont="1" applyFill="0" applyBorder="1" applyAlignment="1" applyProtection="0">
      <alignment vertical="bottom" wrapText="1"/>
    </xf>
    <xf numFmtId="49" fontId="4" borderId="7" applyNumberFormat="1" applyFont="1" applyFill="0" applyBorder="1" applyAlignment="1" applyProtection="0">
      <alignment vertical="bottom" wrapText="1"/>
    </xf>
    <xf numFmtId="0" fontId="5" borderId="5" applyNumberFormat="0" applyFont="1" applyFill="0" applyBorder="1" applyAlignment="1" applyProtection="0">
      <alignment vertical="bottom" wrapText="1"/>
    </xf>
    <xf numFmtId="0" fontId="0" borderId="6" applyNumberFormat="0" applyFont="1" applyFill="0" applyBorder="1" applyAlignment="1" applyProtection="0">
      <alignment vertical="bottom" wrapText="1"/>
    </xf>
    <xf numFmtId="0" fontId="0" borderId="7" applyNumberFormat="0" applyFont="1" applyFill="0" applyBorder="1" applyAlignment="1" applyProtection="0">
      <alignment vertical="bottom" wrapText="1"/>
    </xf>
    <xf numFmtId="49" fontId="6" borderId="5" applyNumberFormat="1" applyFont="1" applyFill="0" applyBorder="1" applyAlignment="1" applyProtection="0">
      <alignment vertical="bottom" wrapText="1" readingOrder="1"/>
    </xf>
    <xf numFmtId="49" fontId="0" borderId="7" applyNumberFormat="1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93209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K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1" width="16.3516" style="1" customWidth="1"/>
    <col min="1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18.55" customHeight="1">
      <c r="A3" t="s" s="4">
        <v>12</v>
      </c>
      <c r="B3" s="5">
        <v>400000</v>
      </c>
      <c r="C3" s="6">
        <v>16000</v>
      </c>
      <c r="D3" s="6">
        <v>800</v>
      </c>
      <c r="E3" s="6">
        <v>8000</v>
      </c>
      <c r="F3" s="6">
        <v>32000</v>
      </c>
      <c r="G3" s="7">
        <f>(C3/B3)*100</f>
        <v>4</v>
      </c>
      <c r="H3" s="7">
        <f>E3/C3</f>
        <v>0.5</v>
      </c>
      <c r="I3" s="7">
        <f>E3/D3</f>
        <v>10</v>
      </c>
      <c r="J3" s="7">
        <f>((F3-E3)/E3)*100</f>
        <v>300</v>
      </c>
      <c r="K3" t="s" s="8">
        <v>13</v>
      </c>
    </row>
    <row r="4" ht="18.35" customHeight="1">
      <c r="A4" t="s" s="9">
        <v>14</v>
      </c>
      <c r="B4" s="10">
        <v>200000</v>
      </c>
      <c r="C4" s="11">
        <v>12000</v>
      </c>
      <c r="D4" s="11">
        <v>1000</v>
      </c>
      <c r="E4" s="11">
        <v>12000</v>
      </c>
      <c r="F4" s="11">
        <v>50000</v>
      </c>
      <c r="G4" s="12">
        <f>(C4/B4)*100</f>
        <v>6</v>
      </c>
      <c r="H4" s="12">
        <f>E4/C4</f>
        <v>1</v>
      </c>
      <c r="I4" s="12">
        <f>E4/D4</f>
        <v>12</v>
      </c>
      <c r="J4" s="12">
        <f>((F4-E4)/E4)*100</f>
        <v>316.666666666667</v>
      </c>
      <c r="K4" t="s" s="13">
        <v>15</v>
      </c>
    </row>
    <row r="5" ht="36.35" customHeight="1">
      <c r="A5" t="s" s="9">
        <v>16</v>
      </c>
      <c r="B5" s="10">
        <v>60000</v>
      </c>
      <c r="C5" s="11">
        <v>9000</v>
      </c>
      <c r="D5" s="11">
        <v>1500</v>
      </c>
      <c r="E5" s="11">
        <v>3000</v>
      </c>
      <c r="F5" s="11">
        <v>45000</v>
      </c>
      <c r="G5" s="12">
        <f>(C5/B5)*100</f>
        <v>15</v>
      </c>
      <c r="H5" s="12">
        <f>E5/C5</f>
        <v>0.333333333333333</v>
      </c>
      <c r="I5" s="12">
        <f>E5/D5</f>
        <v>2</v>
      </c>
      <c r="J5" s="12">
        <f>((F5-E5)/E5)*100</f>
        <v>1400</v>
      </c>
      <c r="K5" t="s" s="13">
        <v>17</v>
      </c>
    </row>
    <row r="6" ht="18.35" customHeight="1">
      <c r="A6" t="s" s="9">
        <v>18</v>
      </c>
      <c r="B6" s="10">
        <v>50000</v>
      </c>
      <c r="C6" s="11">
        <v>2500</v>
      </c>
      <c r="D6" s="11">
        <v>150</v>
      </c>
      <c r="E6" s="11">
        <v>1200</v>
      </c>
      <c r="F6" s="11">
        <v>4500</v>
      </c>
      <c r="G6" s="12">
        <f>(C6/B6)*100</f>
        <v>5</v>
      </c>
      <c r="H6" s="12">
        <f>E6/C6</f>
        <v>0.48</v>
      </c>
      <c r="I6" s="12">
        <f>E6/D6</f>
        <v>8</v>
      </c>
      <c r="J6" s="12">
        <f>((F6-E6)/E6)*100</f>
        <v>275</v>
      </c>
      <c r="K6" t="s" s="13">
        <v>13</v>
      </c>
    </row>
    <row r="7" ht="18.35" customHeight="1">
      <c r="A7" t="s" s="9">
        <v>19</v>
      </c>
      <c r="B7" s="10">
        <v>20000</v>
      </c>
      <c r="C7" s="11">
        <v>900</v>
      </c>
      <c r="D7" s="11">
        <v>60</v>
      </c>
      <c r="E7" s="11">
        <v>1100</v>
      </c>
      <c r="F7" s="11">
        <v>2500</v>
      </c>
      <c r="G7" s="12">
        <f>(C7/B7)*100</f>
        <v>4.5</v>
      </c>
      <c r="H7" s="12">
        <f>E7/C7</f>
        <v>1.22222222222222</v>
      </c>
      <c r="I7" s="12">
        <f>E7/D7</f>
        <v>18.3333333333333</v>
      </c>
      <c r="J7" s="12">
        <f>((F7-E7)/E7)*100</f>
        <v>127.272727272727</v>
      </c>
      <c r="K7" t="s" s="13">
        <v>20</v>
      </c>
    </row>
    <row r="8" ht="12.05" customHeight="1">
      <c r="A8" s="14"/>
      <c r="B8" s="15"/>
      <c r="C8" s="16"/>
      <c r="D8" s="16"/>
      <c r="E8" s="16"/>
      <c r="F8" s="16"/>
      <c r="G8" s="16"/>
      <c r="H8" s="16"/>
      <c r="I8" s="16"/>
      <c r="J8" s="16"/>
      <c r="K8" s="16"/>
    </row>
    <row r="9" ht="33.35" customHeight="1">
      <c r="A9" t="s" s="17">
        <v>21</v>
      </c>
      <c r="B9" s="15"/>
      <c r="C9" s="16"/>
      <c r="D9" s="16"/>
      <c r="E9" s="16"/>
      <c r="F9" s="16"/>
      <c r="G9" t="s" s="18">
        <v>22</v>
      </c>
      <c r="H9" t="s" s="18">
        <v>23</v>
      </c>
      <c r="I9" t="s" s="18">
        <v>24</v>
      </c>
      <c r="J9" t="s" s="18">
        <v>25</v>
      </c>
      <c r="K9" s="16"/>
    </row>
  </sheetData>
  <mergeCells count="1">
    <mergeCell ref="A1:K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